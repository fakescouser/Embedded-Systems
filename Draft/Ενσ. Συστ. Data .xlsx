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DDB0E03-B1BF-444A-AB5C-8D8DD13810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1" i="1" l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F2" i="1"/>
  <c r="E2" i="1"/>
  <c r="D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  <c r="H2" i="1"/>
  <c r="G2" i="1"/>
</calcChain>
</file>

<file path=xl/sharedStrings.xml><?xml version="1.0" encoding="utf-8"?>
<sst xmlns="http://schemas.openxmlformats.org/spreadsheetml/2006/main" count="9" uniqueCount="9">
  <si>
    <t>Thermistor</t>
  </si>
  <si>
    <t>EDA Sensor</t>
  </si>
  <si>
    <t xml:space="preserve">SP/MP (Ks) </t>
  </si>
  <si>
    <t>DP/MP(Kd)</t>
  </si>
  <si>
    <t>SpO2</t>
  </si>
  <si>
    <t>Heart Rate</t>
  </si>
  <si>
    <t>Χ</t>
  </si>
  <si>
    <t>Υ</t>
  </si>
  <si>
    <t>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</si>
</sst>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1"/>
      <scheme val="minor"/>
    </font>
    <font>
      <sz val="10"/>
      <color theme="1"/>
      <name val="Times New Roman"/>
      <family val="1"/>
      <charset val="161"/>
    </font>
    <font>
      <sz val="11"/>
      <color theme="1"/>
      <name val="Times New Roman"/>
      <family val="1"/>
      <charset val="161"/>
    </font>
    <font>
      <sz val="8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K13" sqref="K13"/>
    </sheetView>
  </sheetViews>
  <sheetFormatPr defaultRowHeight="15" x14ac:dyDescent="0.25"/>
  <cols>
    <col min="1" max="1" width="10.42578125" customWidth="1"/>
    <col min="2" max="2" width="11" customWidth="1"/>
    <col min="3" max="3" width="10.28515625" customWidth="1"/>
    <col min="4" max="4" width="10.42578125" customWidth="1"/>
    <col min="8" max="8" width="11.140625" customWidth="1"/>
    <col min="12" max="12" width="10.28515625" bestFit="1" customWidth="1"/>
  </cols>
  <sheetData>
    <row r="1" spans="1:9" x14ac:dyDescent="0.25">
      <c r="A1" s="1" t="s">
        <v>0</v>
      </c>
      <c r="B1" s="3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2</v>
      </c>
      <c r="H1" s="1" t="s">
        <v>3</v>
      </c>
      <c r="I1" s="5" t="s">
        <v>1</v>
      </c>
    </row>
    <row r="2" spans="1:9" x14ac:dyDescent="0.25">
      <c r="A2" s="2" t="str">
        <f ca="1">RANDBETWEEN(275,445) / 10 &amp; "°C"</f>
        <v>38,6°C</v>
      </c>
      <c r="B2" s="3" t="str">
        <f ca="1">RANDBETWEEN(83,100) &amp; "%"</f>
        <v>92%</v>
      </c>
      <c r="C2" s="4" t="str">
        <f ca="1">RANDBETWEEN(45,170) &amp;"bpm"</f>
        <v>152bpm</v>
      </c>
      <c r="D2" s="4">
        <f ca="1">RANDBETWEEN(-16000,16000)/1000</f>
        <v>-7.2839999999999998</v>
      </c>
      <c r="E2" s="4">
        <f ca="1">RANDBETWEEN(-16000,16000)/1000</f>
        <v>-2.5470000000000002</v>
      </c>
      <c r="F2" s="4">
        <f ca="1">RANDBETWEEN(-16000,16000)/1000</f>
        <v>-3.8079999999999998</v>
      </c>
      <c r="G2" s="3" t="str">
        <f ca="1">RANDBETWEEN(25,80)/100 &amp; " Ks"</f>
        <v>0,39 Ks</v>
      </c>
      <c r="H2" s="3" t="str">
        <f ca="1">RANDBETWEEN(40,95)/100 &amp; " Kd"</f>
        <v>0,79 Kd</v>
      </c>
      <c r="I2" s="3">
        <f ca="1">RANDBETWEEN(0,1023)</f>
        <v>692</v>
      </c>
    </row>
    <row r="3" spans="1:9" x14ac:dyDescent="0.25">
      <c r="A3" s="2" t="str">
        <f t="shared" ref="A3:A51" ca="1" si="0">RANDBETWEEN(275,445) / 10 &amp; "°C"</f>
        <v>40,6°C</v>
      </c>
      <c r="B3" s="3" t="str">
        <f t="shared" ref="B3:B51" ca="1" si="1">RANDBETWEEN(83,100) &amp; "%"</f>
        <v>99%</v>
      </c>
      <c r="C3" s="4" t="str">
        <f t="shared" ref="C3:C51" ca="1" si="2">RANDBETWEEN(45,170) &amp;"bpm"</f>
        <v>88bpm</v>
      </c>
      <c r="D3" s="4">
        <f t="shared" ref="D3:F51" ca="1" si="3">RANDBETWEEN(-16000,16000)/1000</f>
        <v>-7.1660000000000004</v>
      </c>
      <c r="E3" s="4">
        <f t="shared" ca="1" si="3"/>
        <v>14.339</v>
      </c>
      <c r="F3" s="4">
        <f t="shared" ca="1" si="3"/>
        <v>-1.34</v>
      </c>
      <c r="G3" s="3" t="str">
        <f t="shared" ref="G3:G51" ca="1" si="4">RANDBETWEEN(25,80)/100 &amp; " Ks"</f>
        <v>0,48 Ks</v>
      </c>
      <c r="H3" s="3" t="str">
        <f t="shared" ref="H3:H51" ca="1" si="5">RANDBETWEEN(40,95)/100 &amp; " Kd"</f>
        <v>0,4 Kd</v>
      </c>
      <c r="I3" s="3">
        <f t="shared" ref="I3:I51" ca="1" si="6">RANDBETWEEN(0,1023)</f>
        <v>401</v>
      </c>
    </row>
    <row r="4" spans="1:9" x14ac:dyDescent="0.25">
      <c r="A4" s="2" t="str">
        <f t="shared" ca="1" si="0"/>
        <v>44,2°C</v>
      </c>
      <c r="B4" s="3" t="str">
        <f t="shared" ca="1" si="1"/>
        <v>84%</v>
      </c>
      <c r="C4" s="4" t="str">
        <f t="shared" ca="1" si="2"/>
        <v>126bpm</v>
      </c>
      <c r="D4" s="4">
        <f t="shared" ca="1" si="3"/>
        <v>-14.058999999999999</v>
      </c>
      <c r="E4" s="4">
        <f t="shared" ca="1" si="3"/>
        <v>11.861000000000001</v>
      </c>
      <c r="F4" s="4">
        <f t="shared" ca="1" si="3"/>
        <v>-14.55</v>
      </c>
      <c r="G4" s="3" t="str">
        <f t="shared" ca="1" si="4"/>
        <v>0,67 Ks</v>
      </c>
      <c r="H4" s="3" t="str">
        <f t="shared" ca="1" si="5"/>
        <v>0,76 Kd</v>
      </c>
      <c r="I4" s="3">
        <f t="shared" ca="1" si="6"/>
        <v>248</v>
      </c>
    </row>
    <row r="5" spans="1:9" x14ac:dyDescent="0.25">
      <c r="A5" s="2" t="str">
        <f t="shared" ca="1" si="0"/>
        <v>37,5°C</v>
      </c>
      <c r="B5" s="3" t="str">
        <f t="shared" ca="1" si="1"/>
        <v>91%</v>
      </c>
      <c r="C5" s="4" t="str">
        <f t="shared" ca="1" si="2"/>
        <v>127bpm</v>
      </c>
      <c r="D5" s="4">
        <f t="shared" ca="1" si="3"/>
        <v>1.7430000000000001</v>
      </c>
      <c r="E5" s="4">
        <f t="shared" ca="1" si="3"/>
        <v>-3.5089999999999999</v>
      </c>
      <c r="F5" s="4">
        <f t="shared" ca="1" si="3"/>
        <v>4.1840000000000002</v>
      </c>
      <c r="G5" s="3" t="str">
        <f t="shared" ca="1" si="4"/>
        <v>0,52 Ks</v>
      </c>
      <c r="H5" s="3" t="str">
        <f t="shared" ca="1" si="5"/>
        <v>0,92 Kd</v>
      </c>
      <c r="I5" s="3">
        <f t="shared" ca="1" si="6"/>
        <v>665</v>
      </c>
    </row>
    <row r="6" spans="1:9" x14ac:dyDescent="0.25">
      <c r="A6" s="2" t="str">
        <f t="shared" ca="1" si="0"/>
        <v>35,4°C</v>
      </c>
      <c r="B6" s="3" t="str">
        <f t="shared" ca="1" si="1"/>
        <v>100%</v>
      </c>
      <c r="C6" s="4" t="str">
        <f t="shared" ca="1" si="2"/>
        <v>117bpm</v>
      </c>
      <c r="D6" s="4">
        <f t="shared" ca="1" si="3"/>
        <v>7.85</v>
      </c>
      <c r="E6" s="4">
        <f t="shared" ca="1" si="3"/>
        <v>-12.394</v>
      </c>
      <c r="F6" s="4">
        <f t="shared" ca="1" si="3"/>
        <v>-5.2220000000000004</v>
      </c>
      <c r="G6" s="3" t="str">
        <f t="shared" ca="1" si="4"/>
        <v>0,76 Ks</v>
      </c>
      <c r="H6" s="3" t="str">
        <f t="shared" ca="1" si="5"/>
        <v>0,94 Kd</v>
      </c>
      <c r="I6" s="3">
        <f t="shared" ca="1" si="6"/>
        <v>376</v>
      </c>
    </row>
    <row r="7" spans="1:9" x14ac:dyDescent="0.25">
      <c r="A7" s="2" t="str">
        <f t="shared" ca="1" si="0"/>
        <v>39,5°C</v>
      </c>
      <c r="B7" s="3" t="str">
        <f t="shared" ca="1" si="1"/>
        <v>90%</v>
      </c>
      <c r="C7" s="4" t="str">
        <f t="shared" ca="1" si="2"/>
        <v>150bpm</v>
      </c>
      <c r="D7" s="4">
        <f t="shared" ca="1" si="3"/>
        <v>11.601000000000001</v>
      </c>
      <c r="E7" s="4">
        <f t="shared" ca="1" si="3"/>
        <v>3.7080000000000002</v>
      </c>
      <c r="F7" s="4">
        <f t="shared" ca="1" si="3"/>
        <v>10.904</v>
      </c>
      <c r="G7" s="3" t="str">
        <f t="shared" ca="1" si="4"/>
        <v>0,73 Ks</v>
      </c>
      <c r="H7" s="3" t="str">
        <f t="shared" ca="1" si="5"/>
        <v>0,46 Kd</v>
      </c>
      <c r="I7" s="3">
        <f t="shared" ca="1" si="6"/>
        <v>114</v>
      </c>
    </row>
    <row r="8" spans="1:9" x14ac:dyDescent="0.25">
      <c r="A8" s="2" t="str">
        <f t="shared" ca="1" si="0"/>
        <v>27,8°C</v>
      </c>
      <c r="B8" s="3" t="str">
        <f t="shared" ca="1" si="1"/>
        <v>99%</v>
      </c>
      <c r="C8" s="4" t="str">
        <f t="shared" ca="1" si="2"/>
        <v>139bpm</v>
      </c>
      <c r="D8" s="4">
        <f t="shared" ca="1" si="3"/>
        <v>-4.601</v>
      </c>
      <c r="E8" s="4">
        <f t="shared" ca="1" si="3"/>
        <v>5.758</v>
      </c>
      <c r="F8" s="4">
        <f t="shared" ca="1" si="3"/>
        <v>5.4359999999999999</v>
      </c>
      <c r="G8" s="3" t="str">
        <f t="shared" ca="1" si="4"/>
        <v>0,34 Ks</v>
      </c>
      <c r="H8" s="3" t="str">
        <f t="shared" ca="1" si="5"/>
        <v>0,95 Kd</v>
      </c>
      <c r="I8" s="3">
        <f t="shared" ca="1" si="6"/>
        <v>363</v>
      </c>
    </row>
    <row r="9" spans="1:9" x14ac:dyDescent="0.25">
      <c r="A9" s="2" t="str">
        <f t="shared" ca="1" si="0"/>
        <v>43,2°C</v>
      </c>
      <c r="B9" s="3" t="str">
        <f t="shared" ca="1" si="1"/>
        <v>91%</v>
      </c>
      <c r="C9" s="4" t="str">
        <f t="shared" ca="1" si="2"/>
        <v>157bpm</v>
      </c>
      <c r="D9" s="4">
        <f t="shared" ca="1" si="3"/>
        <v>-1.143</v>
      </c>
      <c r="E9" s="4">
        <f t="shared" ca="1" si="3"/>
        <v>5.4779999999999998</v>
      </c>
      <c r="F9" s="4">
        <f t="shared" ca="1" si="3"/>
        <v>-11.603</v>
      </c>
      <c r="G9" s="3" t="str">
        <f t="shared" ca="1" si="4"/>
        <v>0,25 Ks</v>
      </c>
      <c r="H9" s="3" t="str">
        <f t="shared" ca="1" si="5"/>
        <v>0,45 Kd</v>
      </c>
      <c r="I9" s="3">
        <f t="shared" ca="1" si="6"/>
        <v>981</v>
      </c>
    </row>
    <row r="10" spans="1:9" x14ac:dyDescent="0.25">
      <c r="A10" s="2" t="str">
        <f t="shared" ca="1" si="0"/>
        <v>43,1°C</v>
      </c>
      <c r="B10" s="3" t="str">
        <f t="shared" ca="1" si="1"/>
        <v>92%</v>
      </c>
      <c r="C10" s="4" t="str">
        <f t="shared" ca="1" si="2"/>
        <v>161bpm</v>
      </c>
      <c r="D10" s="4">
        <f t="shared" ca="1" si="3"/>
        <v>-1.7589999999999999</v>
      </c>
      <c r="E10" s="4">
        <f t="shared" ca="1" si="3"/>
        <v>1.6459999999999999</v>
      </c>
      <c r="F10" s="4">
        <f t="shared" ca="1" si="3"/>
        <v>-2.923</v>
      </c>
      <c r="G10" s="3" t="str">
        <f t="shared" ca="1" si="4"/>
        <v>0,4 Ks</v>
      </c>
      <c r="H10" s="3" t="str">
        <f t="shared" ca="1" si="5"/>
        <v>0,78 Kd</v>
      </c>
      <c r="I10" s="3">
        <f t="shared" ca="1" si="6"/>
        <v>56</v>
      </c>
    </row>
    <row r="11" spans="1:9" x14ac:dyDescent="0.25">
      <c r="A11" s="2" t="str">
        <f t="shared" ca="1" si="0"/>
        <v>44,4°C</v>
      </c>
      <c r="B11" s="3" t="str">
        <f t="shared" ca="1" si="1"/>
        <v>90%</v>
      </c>
      <c r="C11" s="4" t="str">
        <f t="shared" ca="1" si="2"/>
        <v>89bpm</v>
      </c>
      <c r="D11" s="4">
        <f t="shared" ca="1" si="3"/>
        <v>8.2119999999999997</v>
      </c>
      <c r="E11" s="4">
        <f t="shared" ca="1" si="3"/>
        <v>-3.3079999999999998</v>
      </c>
      <c r="F11" s="4">
        <f t="shared" ca="1" si="3"/>
        <v>-13.444000000000001</v>
      </c>
      <c r="G11" s="3" t="str">
        <f t="shared" ca="1" si="4"/>
        <v>0,47 Ks</v>
      </c>
      <c r="H11" s="3" t="str">
        <f t="shared" ca="1" si="5"/>
        <v>0,71 Kd</v>
      </c>
      <c r="I11" s="3">
        <f t="shared" ca="1" si="6"/>
        <v>544</v>
      </c>
    </row>
    <row r="12" spans="1:9" x14ac:dyDescent="0.25">
      <c r="A12" s="2" t="str">
        <f t="shared" ca="1" si="0"/>
        <v>42°C</v>
      </c>
      <c r="B12" s="3" t="str">
        <f t="shared" ca="1" si="1"/>
        <v>83%</v>
      </c>
      <c r="C12" s="4" t="str">
        <f t="shared" ca="1" si="2"/>
        <v>110bpm</v>
      </c>
      <c r="D12" s="4">
        <f t="shared" ca="1" si="3"/>
        <v>-10.48</v>
      </c>
      <c r="E12" s="4">
        <f t="shared" ca="1" si="3"/>
        <v>12.78</v>
      </c>
      <c r="F12" s="4">
        <f t="shared" ca="1" si="3"/>
        <v>8.6769999999999996</v>
      </c>
      <c r="G12" s="3" t="str">
        <f t="shared" ca="1" si="4"/>
        <v>0,51 Ks</v>
      </c>
      <c r="H12" s="3" t="str">
        <f t="shared" ca="1" si="5"/>
        <v>0,75 Kd</v>
      </c>
      <c r="I12" s="3">
        <f t="shared" ca="1" si="6"/>
        <v>349</v>
      </c>
    </row>
    <row r="13" spans="1:9" x14ac:dyDescent="0.25">
      <c r="A13" s="2" t="str">
        <f t="shared" ca="1" si="0"/>
        <v>43,1°C</v>
      </c>
      <c r="B13" s="3" t="str">
        <f t="shared" ca="1" si="1"/>
        <v>99%</v>
      </c>
      <c r="C13" s="4" t="str">
        <f t="shared" ca="1" si="2"/>
        <v>120bpm</v>
      </c>
      <c r="D13" s="4">
        <f t="shared" ca="1" si="3"/>
        <v>-11.724</v>
      </c>
      <c r="E13" s="4">
        <f t="shared" ca="1" si="3"/>
        <v>-12.914999999999999</v>
      </c>
      <c r="F13" s="4">
        <f t="shared" ca="1" si="3"/>
        <v>-9.8849999999999998</v>
      </c>
      <c r="G13" s="3" t="str">
        <f t="shared" ca="1" si="4"/>
        <v>0,32 Ks</v>
      </c>
      <c r="H13" s="3" t="str">
        <f t="shared" ca="1" si="5"/>
        <v>0,55 Kd</v>
      </c>
      <c r="I13" s="3">
        <f t="shared" ca="1" si="6"/>
        <v>685</v>
      </c>
    </row>
    <row r="14" spans="1:9" x14ac:dyDescent="0.25">
      <c r="A14" s="2" t="str">
        <f t="shared" ca="1" si="0"/>
        <v>33°C</v>
      </c>
      <c r="B14" s="3" t="str">
        <f t="shared" ca="1" si="1"/>
        <v>90%</v>
      </c>
      <c r="C14" s="4" t="str">
        <f t="shared" ca="1" si="2"/>
        <v>80bpm</v>
      </c>
      <c r="D14" s="4">
        <f t="shared" ca="1" si="3"/>
        <v>-0.24299999999999999</v>
      </c>
      <c r="E14" s="4">
        <f t="shared" ca="1" si="3"/>
        <v>-8.5399999999999991</v>
      </c>
      <c r="F14" s="4">
        <f t="shared" ca="1" si="3"/>
        <v>-13.92</v>
      </c>
      <c r="G14" s="3" t="str">
        <f t="shared" ca="1" si="4"/>
        <v>0,59 Ks</v>
      </c>
      <c r="H14" s="3" t="str">
        <f t="shared" ca="1" si="5"/>
        <v>0,49 Kd</v>
      </c>
      <c r="I14" s="3">
        <f t="shared" ca="1" si="6"/>
        <v>779</v>
      </c>
    </row>
    <row r="15" spans="1:9" x14ac:dyDescent="0.25">
      <c r="A15" s="2" t="str">
        <f t="shared" ca="1" si="0"/>
        <v>39,5°C</v>
      </c>
      <c r="B15" s="3" t="str">
        <f t="shared" ca="1" si="1"/>
        <v>87%</v>
      </c>
      <c r="C15" s="4" t="str">
        <f t="shared" ca="1" si="2"/>
        <v>98bpm</v>
      </c>
      <c r="D15" s="4">
        <f t="shared" ca="1" si="3"/>
        <v>7.25</v>
      </c>
      <c r="E15" s="4">
        <f t="shared" ca="1" si="3"/>
        <v>-11.404999999999999</v>
      </c>
      <c r="F15" s="4">
        <f t="shared" ca="1" si="3"/>
        <v>-0.39600000000000002</v>
      </c>
      <c r="G15" s="3" t="str">
        <f t="shared" ca="1" si="4"/>
        <v>0,31 Ks</v>
      </c>
      <c r="H15" s="3" t="str">
        <f t="shared" ca="1" si="5"/>
        <v>0,88 Kd</v>
      </c>
      <c r="I15" s="3">
        <f t="shared" ca="1" si="6"/>
        <v>125</v>
      </c>
    </row>
    <row r="16" spans="1:9" x14ac:dyDescent="0.25">
      <c r="A16" s="2" t="str">
        <f t="shared" ca="1" si="0"/>
        <v>27,6°C</v>
      </c>
      <c r="B16" s="3" t="str">
        <f t="shared" ca="1" si="1"/>
        <v>97%</v>
      </c>
      <c r="C16" s="4" t="str">
        <f t="shared" ca="1" si="2"/>
        <v>62bpm</v>
      </c>
      <c r="D16" s="4">
        <f t="shared" ca="1" si="3"/>
        <v>5.4219999999999997</v>
      </c>
      <c r="E16" s="4">
        <f t="shared" ca="1" si="3"/>
        <v>14.721</v>
      </c>
      <c r="F16" s="4">
        <f t="shared" ca="1" si="3"/>
        <v>-6.2489999999999997</v>
      </c>
      <c r="G16" s="3" t="str">
        <f t="shared" ca="1" si="4"/>
        <v>0,68 Ks</v>
      </c>
      <c r="H16" s="3" t="str">
        <f t="shared" ca="1" si="5"/>
        <v>0,72 Kd</v>
      </c>
      <c r="I16" s="3">
        <f t="shared" ca="1" si="6"/>
        <v>376</v>
      </c>
    </row>
    <row r="17" spans="1:9" x14ac:dyDescent="0.25">
      <c r="A17" s="2" t="str">
        <f t="shared" ca="1" si="0"/>
        <v>31,4°C</v>
      </c>
      <c r="B17" s="3" t="str">
        <f t="shared" ca="1" si="1"/>
        <v>97%</v>
      </c>
      <c r="C17" s="4" t="str">
        <f t="shared" ca="1" si="2"/>
        <v>113bpm</v>
      </c>
      <c r="D17" s="4">
        <f t="shared" ca="1" si="3"/>
        <v>-3.7189999999999999</v>
      </c>
      <c r="E17" s="4">
        <f t="shared" ca="1" si="3"/>
        <v>-12.842000000000001</v>
      </c>
      <c r="F17" s="4">
        <f t="shared" ca="1" si="3"/>
        <v>-9.3460000000000001</v>
      </c>
      <c r="G17" s="3" t="str">
        <f t="shared" ca="1" si="4"/>
        <v>0,43 Ks</v>
      </c>
      <c r="H17" s="3" t="str">
        <f t="shared" ca="1" si="5"/>
        <v>0,45 Kd</v>
      </c>
      <c r="I17" s="3">
        <f t="shared" ca="1" si="6"/>
        <v>494</v>
      </c>
    </row>
    <row r="18" spans="1:9" x14ac:dyDescent="0.25">
      <c r="A18" s="2" t="str">
        <f t="shared" ca="1" si="0"/>
        <v>38,5°C</v>
      </c>
      <c r="B18" s="3" t="str">
        <f t="shared" ca="1" si="1"/>
        <v>83%</v>
      </c>
      <c r="C18" s="4" t="str">
        <f t="shared" ca="1" si="2"/>
        <v>151bpm</v>
      </c>
      <c r="D18" s="4">
        <f t="shared" ca="1" si="3"/>
        <v>-6.7030000000000003</v>
      </c>
      <c r="E18" s="4">
        <f t="shared" ca="1" si="3"/>
        <v>-10.955</v>
      </c>
      <c r="F18" s="4">
        <f t="shared" ca="1" si="3"/>
        <v>-0.83499999999999996</v>
      </c>
      <c r="G18" s="3" t="str">
        <f t="shared" ca="1" si="4"/>
        <v>0,7 Ks</v>
      </c>
      <c r="H18" s="3" t="str">
        <f t="shared" ca="1" si="5"/>
        <v>0,51 Kd</v>
      </c>
      <c r="I18" s="3">
        <f t="shared" ca="1" si="6"/>
        <v>408</v>
      </c>
    </row>
    <row r="19" spans="1:9" x14ac:dyDescent="0.25">
      <c r="A19" s="2" t="str">
        <f t="shared" ca="1" si="0"/>
        <v>34,1°C</v>
      </c>
      <c r="B19" s="3" t="str">
        <f t="shared" ca="1" si="1"/>
        <v>89%</v>
      </c>
      <c r="C19" s="4" t="str">
        <f t="shared" ca="1" si="2"/>
        <v>131bpm</v>
      </c>
      <c r="D19" s="4">
        <f t="shared" ca="1" si="3"/>
        <v>-6.5679999999999996</v>
      </c>
      <c r="E19" s="4">
        <f t="shared" ca="1" si="3"/>
        <v>0.81499999999999995</v>
      </c>
      <c r="F19" s="4">
        <f t="shared" ca="1" si="3"/>
        <v>-5.6239999999999997</v>
      </c>
      <c r="G19" s="3" t="str">
        <f t="shared" ca="1" si="4"/>
        <v>0,68 Ks</v>
      </c>
      <c r="H19" s="3" t="str">
        <f t="shared" ca="1" si="5"/>
        <v>0,49 Kd</v>
      </c>
      <c r="I19" s="3">
        <f t="shared" ca="1" si="6"/>
        <v>416</v>
      </c>
    </row>
    <row r="20" spans="1:9" x14ac:dyDescent="0.25">
      <c r="A20" s="2" t="str">
        <f t="shared" ca="1" si="0"/>
        <v>34,3°C</v>
      </c>
      <c r="B20" s="3" t="str">
        <f t="shared" ca="1" si="1"/>
        <v>92%</v>
      </c>
      <c r="C20" s="4" t="str">
        <f t="shared" ca="1" si="2"/>
        <v>132bpm</v>
      </c>
      <c r="D20" s="4">
        <f t="shared" ca="1" si="3"/>
        <v>5.4630000000000001</v>
      </c>
      <c r="E20" s="4">
        <f t="shared" ca="1" si="3"/>
        <v>10.214</v>
      </c>
      <c r="F20" s="4">
        <f t="shared" ca="1" si="3"/>
        <v>-5.9580000000000002</v>
      </c>
      <c r="G20" s="3" t="str">
        <f t="shared" ca="1" si="4"/>
        <v>0,79 Ks</v>
      </c>
      <c r="H20" s="3" t="str">
        <f t="shared" ca="1" si="5"/>
        <v>0,66 Kd</v>
      </c>
      <c r="I20" s="3">
        <f t="shared" ca="1" si="6"/>
        <v>831</v>
      </c>
    </row>
    <row r="21" spans="1:9" x14ac:dyDescent="0.25">
      <c r="A21" s="2" t="str">
        <f t="shared" ca="1" si="0"/>
        <v>36,7°C</v>
      </c>
      <c r="B21" s="3" t="str">
        <f t="shared" ca="1" si="1"/>
        <v>95%</v>
      </c>
      <c r="C21" s="4" t="str">
        <f t="shared" ca="1" si="2"/>
        <v>121bpm</v>
      </c>
      <c r="D21" s="4">
        <f t="shared" ca="1" si="3"/>
        <v>2.5680000000000001</v>
      </c>
      <c r="E21" s="4">
        <f t="shared" ca="1" si="3"/>
        <v>-12.973000000000001</v>
      </c>
      <c r="F21" s="4">
        <f t="shared" ca="1" si="3"/>
        <v>-3.4430000000000001</v>
      </c>
      <c r="G21" s="3" t="str">
        <f t="shared" ca="1" si="4"/>
        <v>0,51 Ks</v>
      </c>
      <c r="H21" s="3" t="str">
        <f t="shared" ca="1" si="5"/>
        <v>0,58 Kd</v>
      </c>
      <c r="I21" s="3">
        <f t="shared" ca="1" si="6"/>
        <v>925</v>
      </c>
    </row>
    <row r="22" spans="1:9" x14ac:dyDescent="0.25">
      <c r="A22" s="2" t="str">
        <f t="shared" ca="1" si="0"/>
        <v>42,5°C</v>
      </c>
      <c r="B22" s="3" t="str">
        <f t="shared" ca="1" si="1"/>
        <v>95%</v>
      </c>
      <c r="C22" s="4" t="str">
        <f t="shared" ca="1" si="2"/>
        <v>154bpm</v>
      </c>
      <c r="D22" s="4">
        <f t="shared" ca="1" si="3"/>
        <v>-3.419</v>
      </c>
      <c r="E22" s="4">
        <f t="shared" ca="1" si="3"/>
        <v>-6.8540000000000001</v>
      </c>
      <c r="F22" s="4">
        <f t="shared" ca="1" si="3"/>
        <v>11.611000000000001</v>
      </c>
      <c r="G22" s="3" t="str">
        <f t="shared" ca="1" si="4"/>
        <v>0,33 Ks</v>
      </c>
      <c r="H22" s="3" t="str">
        <f t="shared" ca="1" si="5"/>
        <v>0,54 Kd</v>
      </c>
      <c r="I22" s="3">
        <f t="shared" ca="1" si="6"/>
        <v>138</v>
      </c>
    </row>
    <row r="23" spans="1:9" x14ac:dyDescent="0.25">
      <c r="A23" s="2" t="str">
        <f t="shared" ca="1" si="0"/>
        <v>40°C</v>
      </c>
      <c r="B23" s="3" t="str">
        <f t="shared" ca="1" si="1"/>
        <v>86%</v>
      </c>
      <c r="C23" s="4" t="str">
        <f t="shared" ca="1" si="2"/>
        <v>61bpm</v>
      </c>
      <c r="D23" s="4">
        <f t="shared" ca="1" si="3"/>
        <v>0.38600000000000001</v>
      </c>
      <c r="E23" s="4">
        <f t="shared" ca="1" si="3"/>
        <v>-15.457000000000001</v>
      </c>
      <c r="F23" s="4">
        <f t="shared" ca="1" si="3"/>
        <v>2.3079999999999998</v>
      </c>
      <c r="G23" s="3" t="str">
        <f t="shared" ca="1" si="4"/>
        <v>0,8 Ks</v>
      </c>
      <c r="H23" s="3" t="str">
        <f t="shared" ca="1" si="5"/>
        <v>0,76 Kd</v>
      </c>
      <c r="I23" s="3">
        <f t="shared" ca="1" si="6"/>
        <v>31</v>
      </c>
    </row>
    <row r="24" spans="1:9" x14ac:dyDescent="0.25">
      <c r="A24" s="2" t="str">
        <f t="shared" ca="1" si="0"/>
        <v>28,7°C</v>
      </c>
      <c r="B24" s="3" t="str">
        <f t="shared" ca="1" si="1"/>
        <v>85%</v>
      </c>
      <c r="C24" s="4" t="str">
        <f t="shared" ca="1" si="2"/>
        <v>70bpm</v>
      </c>
      <c r="D24" s="4">
        <f t="shared" ca="1" si="3"/>
        <v>-13.086</v>
      </c>
      <c r="E24" s="4">
        <f t="shared" ca="1" si="3"/>
        <v>-13.013</v>
      </c>
      <c r="F24" s="4">
        <f t="shared" ca="1" si="3"/>
        <v>6.492</v>
      </c>
      <c r="G24" s="3" t="str">
        <f t="shared" ca="1" si="4"/>
        <v>0,57 Ks</v>
      </c>
      <c r="H24" s="3" t="str">
        <f t="shared" ca="1" si="5"/>
        <v>0,51 Kd</v>
      </c>
      <c r="I24" s="3">
        <f t="shared" ca="1" si="6"/>
        <v>1016</v>
      </c>
    </row>
    <row r="25" spans="1:9" x14ac:dyDescent="0.25">
      <c r="A25" s="2" t="str">
        <f t="shared" ca="1" si="0"/>
        <v>30,8°C</v>
      </c>
      <c r="B25" s="3" t="str">
        <f t="shared" ca="1" si="1"/>
        <v>87%</v>
      </c>
      <c r="C25" s="4" t="str">
        <f t="shared" ca="1" si="2"/>
        <v>101bpm</v>
      </c>
      <c r="D25" s="4">
        <f t="shared" ca="1" si="3"/>
        <v>-14.706</v>
      </c>
      <c r="E25" s="4">
        <f t="shared" ca="1" si="3"/>
        <v>-8.4309999999999992</v>
      </c>
      <c r="F25" s="4">
        <f t="shared" ca="1" si="3"/>
        <v>-1.4159999999999999</v>
      </c>
      <c r="G25" s="3" t="str">
        <f t="shared" ca="1" si="4"/>
        <v>0,64 Ks</v>
      </c>
      <c r="H25" s="3" t="str">
        <f t="shared" ca="1" si="5"/>
        <v>0,86 Kd</v>
      </c>
      <c r="I25" s="3">
        <f t="shared" ca="1" si="6"/>
        <v>869</v>
      </c>
    </row>
    <row r="26" spans="1:9" x14ac:dyDescent="0.25">
      <c r="A26" s="2" t="str">
        <f t="shared" ca="1" si="0"/>
        <v>29,3°C</v>
      </c>
      <c r="B26" s="3" t="str">
        <f t="shared" ca="1" si="1"/>
        <v>95%</v>
      </c>
      <c r="C26" s="4" t="str">
        <f t="shared" ca="1" si="2"/>
        <v>125bpm</v>
      </c>
      <c r="D26" s="4">
        <f t="shared" ca="1" si="3"/>
        <v>1.0569999999999999</v>
      </c>
      <c r="E26" s="4">
        <f t="shared" ca="1" si="3"/>
        <v>10.086</v>
      </c>
      <c r="F26" s="4">
        <f t="shared" ca="1" si="3"/>
        <v>3.5390000000000001</v>
      </c>
      <c r="G26" s="3" t="str">
        <f t="shared" ca="1" si="4"/>
        <v>0,39 Ks</v>
      </c>
      <c r="H26" s="3" t="str">
        <f t="shared" ca="1" si="5"/>
        <v>0,64 Kd</v>
      </c>
      <c r="I26" s="3">
        <f t="shared" ca="1" si="6"/>
        <v>533</v>
      </c>
    </row>
    <row r="27" spans="1:9" x14ac:dyDescent="0.25">
      <c r="A27" s="2" t="str">
        <f t="shared" ca="1" si="0"/>
        <v>35,6°C</v>
      </c>
      <c r="B27" s="3" t="str">
        <f t="shared" ca="1" si="1"/>
        <v>98%</v>
      </c>
      <c r="C27" s="4" t="str">
        <f t="shared" ca="1" si="2"/>
        <v>131bpm</v>
      </c>
      <c r="D27" s="4">
        <f t="shared" ca="1" si="3"/>
        <v>-1.79</v>
      </c>
      <c r="E27" s="4">
        <f t="shared" ca="1" si="3"/>
        <v>3.9950000000000001</v>
      </c>
      <c r="F27" s="4">
        <f t="shared" ca="1" si="3"/>
        <v>8.5540000000000003</v>
      </c>
      <c r="G27" s="3" t="str">
        <f t="shared" ca="1" si="4"/>
        <v>0,72 Ks</v>
      </c>
      <c r="H27" s="3" t="str">
        <f t="shared" ca="1" si="5"/>
        <v>0,52 Kd</v>
      </c>
      <c r="I27" s="3">
        <f t="shared" ca="1" si="6"/>
        <v>354</v>
      </c>
    </row>
    <row r="28" spans="1:9" x14ac:dyDescent="0.25">
      <c r="A28" s="2" t="str">
        <f t="shared" ca="1" si="0"/>
        <v>34,5°C</v>
      </c>
      <c r="B28" s="3" t="str">
        <f t="shared" ca="1" si="1"/>
        <v>90%</v>
      </c>
      <c r="C28" s="4" t="str">
        <f t="shared" ca="1" si="2"/>
        <v>145bpm</v>
      </c>
      <c r="D28" s="4">
        <f t="shared" ca="1" si="3"/>
        <v>5.3369999999999997</v>
      </c>
      <c r="E28" s="4">
        <f t="shared" ca="1" si="3"/>
        <v>9.5280000000000005</v>
      </c>
      <c r="F28" s="4">
        <f t="shared" ca="1" si="3"/>
        <v>5.2350000000000003</v>
      </c>
      <c r="G28" s="3" t="str">
        <f t="shared" ca="1" si="4"/>
        <v>0,43 Ks</v>
      </c>
      <c r="H28" s="3" t="str">
        <f t="shared" ca="1" si="5"/>
        <v>0,86 Kd</v>
      </c>
      <c r="I28" s="3">
        <f t="shared" ca="1" si="6"/>
        <v>380</v>
      </c>
    </row>
    <row r="29" spans="1:9" x14ac:dyDescent="0.25">
      <c r="A29" s="2" t="str">
        <f t="shared" ca="1" si="0"/>
        <v>41°C</v>
      </c>
      <c r="B29" s="3" t="str">
        <f t="shared" ca="1" si="1"/>
        <v>99%</v>
      </c>
      <c r="C29" s="4" t="str">
        <f t="shared" ca="1" si="2"/>
        <v>102bpm</v>
      </c>
      <c r="D29" s="4">
        <f t="shared" ca="1" si="3"/>
        <v>-12.62</v>
      </c>
      <c r="E29" s="4">
        <f t="shared" ca="1" si="3"/>
        <v>7.0289999999999999</v>
      </c>
      <c r="F29" s="4">
        <f t="shared" ca="1" si="3"/>
        <v>-13.305999999999999</v>
      </c>
      <c r="G29" s="3" t="str">
        <f t="shared" ca="1" si="4"/>
        <v>0,5 Ks</v>
      </c>
      <c r="H29" s="3" t="str">
        <f t="shared" ca="1" si="5"/>
        <v>0,64 Kd</v>
      </c>
      <c r="I29" s="3">
        <f t="shared" ca="1" si="6"/>
        <v>802</v>
      </c>
    </row>
    <row r="30" spans="1:9" x14ac:dyDescent="0.25">
      <c r="A30" s="2" t="str">
        <f t="shared" ca="1" si="0"/>
        <v>35,5°C</v>
      </c>
      <c r="B30" s="3" t="str">
        <f t="shared" ca="1" si="1"/>
        <v>85%</v>
      </c>
      <c r="C30" s="4" t="str">
        <f t="shared" ca="1" si="2"/>
        <v>103bpm</v>
      </c>
      <c r="D30" s="4">
        <f t="shared" ca="1" si="3"/>
        <v>3.976</v>
      </c>
      <c r="E30" s="4">
        <f t="shared" ca="1" si="3"/>
        <v>-3.367</v>
      </c>
      <c r="F30" s="4">
        <f t="shared" ca="1" si="3"/>
        <v>15.148</v>
      </c>
      <c r="G30" s="3" t="str">
        <f t="shared" ca="1" si="4"/>
        <v>0,42 Ks</v>
      </c>
      <c r="H30" s="3" t="str">
        <f t="shared" ca="1" si="5"/>
        <v>0,62 Kd</v>
      </c>
      <c r="I30" s="3">
        <f t="shared" ca="1" si="6"/>
        <v>1022</v>
      </c>
    </row>
    <row r="31" spans="1:9" x14ac:dyDescent="0.25">
      <c r="A31" s="2" t="str">
        <f t="shared" ca="1" si="0"/>
        <v>43,1°C</v>
      </c>
      <c r="B31" s="3" t="str">
        <f t="shared" ca="1" si="1"/>
        <v>87%</v>
      </c>
      <c r="C31" s="4" t="str">
        <f t="shared" ca="1" si="2"/>
        <v>155bpm</v>
      </c>
      <c r="D31" s="4">
        <f t="shared" ca="1" si="3"/>
        <v>14.962</v>
      </c>
      <c r="E31" s="4">
        <f t="shared" ca="1" si="3"/>
        <v>14.909000000000001</v>
      </c>
      <c r="F31" s="4">
        <f t="shared" ca="1" si="3"/>
        <v>-7.4329999999999998</v>
      </c>
      <c r="G31" s="3" t="str">
        <f t="shared" ca="1" si="4"/>
        <v>0,78 Ks</v>
      </c>
      <c r="H31" s="3" t="str">
        <f t="shared" ca="1" si="5"/>
        <v>0,81 Kd</v>
      </c>
      <c r="I31" s="3">
        <f t="shared" ca="1" si="6"/>
        <v>988</v>
      </c>
    </row>
    <row r="32" spans="1:9" x14ac:dyDescent="0.25">
      <c r="A32" s="2" t="str">
        <f t="shared" ca="1" si="0"/>
        <v>32,3°C</v>
      </c>
      <c r="B32" s="3" t="str">
        <f t="shared" ca="1" si="1"/>
        <v>91%</v>
      </c>
      <c r="C32" s="4" t="str">
        <f t="shared" ca="1" si="2"/>
        <v>169bpm</v>
      </c>
      <c r="D32" s="4">
        <f t="shared" ca="1" si="3"/>
        <v>-9.6259999999999994</v>
      </c>
      <c r="E32" s="4">
        <f t="shared" ca="1" si="3"/>
        <v>13.974</v>
      </c>
      <c r="F32" s="4">
        <f t="shared" ca="1" si="3"/>
        <v>-6.431</v>
      </c>
      <c r="G32" s="3" t="str">
        <f t="shared" ca="1" si="4"/>
        <v>0,33 Ks</v>
      </c>
      <c r="H32" s="3" t="str">
        <f t="shared" ca="1" si="5"/>
        <v>0,49 Kd</v>
      </c>
      <c r="I32" s="3">
        <f t="shared" ca="1" si="6"/>
        <v>524</v>
      </c>
    </row>
    <row r="33" spans="1:9" x14ac:dyDescent="0.25">
      <c r="A33" s="2" t="str">
        <f t="shared" ca="1" si="0"/>
        <v>42,6°C</v>
      </c>
      <c r="B33" s="3" t="str">
        <f t="shared" ca="1" si="1"/>
        <v>99%</v>
      </c>
      <c r="C33" s="4" t="str">
        <f t="shared" ca="1" si="2"/>
        <v>81bpm</v>
      </c>
      <c r="D33" s="4">
        <f t="shared" ca="1" si="3"/>
        <v>15.048999999999999</v>
      </c>
      <c r="E33" s="4">
        <f t="shared" ca="1" si="3"/>
        <v>4.093</v>
      </c>
      <c r="F33" s="4">
        <f t="shared" ca="1" si="3"/>
        <v>-5.9669999999999996</v>
      </c>
      <c r="G33" s="3" t="str">
        <f t="shared" ca="1" si="4"/>
        <v>0,28 Ks</v>
      </c>
      <c r="H33" s="3" t="str">
        <f t="shared" ca="1" si="5"/>
        <v>0,66 Kd</v>
      </c>
      <c r="I33" s="3">
        <f t="shared" ca="1" si="6"/>
        <v>339</v>
      </c>
    </row>
    <row r="34" spans="1:9" x14ac:dyDescent="0.25">
      <c r="A34" s="2" t="str">
        <f t="shared" ca="1" si="0"/>
        <v>30,2°C</v>
      </c>
      <c r="B34" s="3" t="str">
        <f t="shared" ca="1" si="1"/>
        <v>96%</v>
      </c>
      <c r="C34" s="4" t="str">
        <f t="shared" ca="1" si="2"/>
        <v>46bpm</v>
      </c>
      <c r="D34" s="4">
        <f t="shared" ca="1" si="3"/>
        <v>-5.9640000000000004</v>
      </c>
      <c r="E34" s="4">
        <f t="shared" ca="1" si="3"/>
        <v>-4.9359999999999999</v>
      </c>
      <c r="F34" s="4">
        <f t="shared" ca="1" si="3"/>
        <v>-4.55</v>
      </c>
      <c r="G34" s="3" t="str">
        <f t="shared" ca="1" si="4"/>
        <v>0,34 Ks</v>
      </c>
      <c r="H34" s="3" t="str">
        <f t="shared" ca="1" si="5"/>
        <v>0,85 Kd</v>
      </c>
      <c r="I34" s="3">
        <f t="shared" ca="1" si="6"/>
        <v>784</v>
      </c>
    </row>
    <row r="35" spans="1:9" x14ac:dyDescent="0.25">
      <c r="A35" s="2" t="str">
        <f t="shared" ca="1" si="0"/>
        <v>30,9°C</v>
      </c>
      <c r="B35" s="3" t="str">
        <f t="shared" ca="1" si="1"/>
        <v>89%</v>
      </c>
      <c r="C35" s="4" t="str">
        <f t="shared" ca="1" si="2"/>
        <v>61bpm</v>
      </c>
      <c r="D35" s="4">
        <f t="shared" ca="1" si="3"/>
        <v>1.103</v>
      </c>
      <c r="E35" s="4">
        <f t="shared" ca="1" si="3"/>
        <v>14.567</v>
      </c>
      <c r="F35" s="4">
        <f t="shared" ca="1" si="3"/>
        <v>-11.4</v>
      </c>
      <c r="G35" s="3" t="str">
        <f t="shared" ca="1" si="4"/>
        <v>0,44 Ks</v>
      </c>
      <c r="H35" s="3" t="str">
        <f t="shared" ca="1" si="5"/>
        <v>0,64 Kd</v>
      </c>
      <c r="I35" s="3">
        <f t="shared" ca="1" si="6"/>
        <v>847</v>
      </c>
    </row>
    <row r="36" spans="1:9" x14ac:dyDescent="0.25">
      <c r="A36" s="2" t="str">
        <f t="shared" ca="1" si="0"/>
        <v>33,9°C</v>
      </c>
      <c r="B36" s="3" t="str">
        <f t="shared" ca="1" si="1"/>
        <v>95%</v>
      </c>
      <c r="C36" s="4" t="str">
        <f t="shared" ca="1" si="2"/>
        <v>153bpm</v>
      </c>
      <c r="D36" s="4">
        <f t="shared" ca="1" si="3"/>
        <v>5.9509999999999996</v>
      </c>
      <c r="E36" s="4">
        <f t="shared" ca="1" si="3"/>
        <v>9.516</v>
      </c>
      <c r="F36" s="4">
        <f t="shared" ca="1" si="3"/>
        <v>15.64</v>
      </c>
      <c r="G36" s="3" t="str">
        <f t="shared" ca="1" si="4"/>
        <v>0,47 Ks</v>
      </c>
      <c r="H36" s="3" t="str">
        <f t="shared" ca="1" si="5"/>
        <v>0,58 Kd</v>
      </c>
      <c r="I36" s="3">
        <f t="shared" ca="1" si="6"/>
        <v>687</v>
      </c>
    </row>
    <row r="37" spans="1:9" x14ac:dyDescent="0.25">
      <c r="A37" s="2" t="str">
        <f t="shared" ca="1" si="0"/>
        <v>34,4°C</v>
      </c>
      <c r="B37" s="3" t="str">
        <f t="shared" ca="1" si="1"/>
        <v>83%</v>
      </c>
      <c r="C37" s="4" t="str">
        <f t="shared" ca="1" si="2"/>
        <v>159bpm</v>
      </c>
      <c r="D37" s="4">
        <f t="shared" ca="1" si="3"/>
        <v>-8.9039999999999999</v>
      </c>
      <c r="E37" s="4">
        <f t="shared" ca="1" si="3"/>
        <v>-0.78300000000000003</v>
      </c>
      <c r="F37" s="4">
        <f t="shared" ca="1" si="3"/>
        <v>-4.7469999999999999</v>
      </c>
      <c r="G37" s="3" t="str">
        <f t="shared" ca="1" si="4"/>
        <v>0,75 Ks</v>
      </c>
      <c r="H37" s="3" t="str">
        <f t="shared" ca="1" si="5"/>
        <v>0,59 Kd</v>
      </c>
      <c r="I37" s="3">
        <f t="shared" ca="1" si="6"/>
        <v>713</v>
      </c>
    </row>
    <row r="38" spans="1:9" x14ac:dyDescent="0.25">
      <c r="A38" s="2" t="str">
        <f t="shared" ca="1" si="0"/>
        <v>42,2°C</v>
      </c>
      <c r="B38" s="3" t="str">
        <f t="shared" ca="1" si="1"/>
        <v>84%</v>
      </c>
      <c r="C38" s="4" t="str">
        <f t="shared" ca="1" si="2"/>
        <v>144bpm</v>
      </c>
      <c r="D38" s="4">
        <f t="shared" ca="1" si="3"/>
        <v>-10.456</v>
      </c>
      <c r="E38" s="4">
        <f t="shared" ca="1" si="3"/>
        <v>-3.855</v>
      </c>
      <c r="F38" s="4">
        <f t="shared" ca="1" si="3"/>
        <v>-13.898999999999999</v>
      </c>
      <c r="G38" s="3" t="str">
        <f t="shared" ca="1" si="4"/>
        <v>0,56 Ks</v>
      </c>
      <c r="H38" s="3" t="str">
        <f t="shared" ca="1" si="5"/>
        <v>0,5 Kd</v>
      </c>
      <c r="I38" s="3">
        <f t="shared" ca="1" si="6"/>
        <v>932</v>
      </c>
    </row>
    <row r="39" spans="1:9" x14ac:dyDescent="0.25">
      <c r="A39" s="2" t="str">
        <f t="shared" ca="1" si="0"/>
        <v>32,8°C</v>
      </c>
      <c r="B39" s="3" t="str">
        <f t="shared" ca="1" si="1"/>
        <v>84%</v>
      </c>
      <c r="C39" s="4" t="str">
        <f t="shared" ca="1" si="2"/>
        <v>117bpm</v>
      </c>
      <c r="D39" s="4">
        <f t="shared" ca="1" si="3"/>
        <v>-13.814</v>
      </c>
      <c r="E39" s="4">
        <f t="shared" ca="1" si="3"/>
        <v>12.77</v>
      </c>
      <c r="F39" s="4">
        <f t="shared" ca="1" si="3"/>
        <v>-2.6640000000000001</v>
      </c>
      <c r="G39" s="3" t="str">
        <f t="shared" ca="1" si="4"/>
        <v>0,56 Ks</v>
      </c>
      <c r="H39" s="3" t="str">
        <f t="shared" ca="1" si="5"/>
        <v>0,71 Kd</v>
      </c>
      <c r="I39" s="3">
        <f t="shared" ca="1" si="6"/>
        <v>190</v>
      </c>
    </row>
    <row r="40" spans="1:9" x14ac:dyDescent="0.25">
      <c r="A40" s="2" t="str">
        <f t="shared" ca="1" si="0"/>
        <v>32,4°C</v>
      </c>
      <c r="B40" s="3" t="str">
        <f t="shared" ca="1" si="1"/>
        <v>95%</v>
      </c>
      <c r="C40" s="4" t="str">
        <f t="shared" ca="1" si="2"/>
        <v>64bpm</v>
      </c>
      <c r="D40" s="4">
        <f t="shared" ca="1" si="3"/>
        <v>7.1779999999999999</v>
      </c>
      <c r="E40" s="4">
        <f t="shared" ca="1" si="3"/>
        <v>14.268000000000001</v>
      </c>
      <c r="F40" s="4">
        <f t="shared" ca="1" si="3"/>
        <v>4.2060000000000004</v>
      </c>
      <c r="G40" s="3" t="str">
        <f t="shared" ca="1" si="4"/>
        <v>0,78 Ks</v>
      </c>
      <c r="H40" s="3" t="str">
        <f t="shared" ca="1" si="5"/>
        <v>0,56 Kd</v>
      </c>
      <c r="I40" s="3">
        <f t="shared" ca="1" si="6"/>
        <v>829</v>
      </c>
    </row>
    <row r="41" spans="1:9" x14ac:dyDescent="0.25">
      <c r="A41" s="2" t="str">
        <f t="shared" ca="1" si="0"/>
        <v>33,6°C</v>
      </c>
      <c r="B41" s="3" t="str">
        <f t="shared" ca="1" si="1"/>
        <v>100%</v>
      </c>
      <c r="C41" s="4" t="str">
        <f t="shared" ca="1" si="2"/>
        <v>167bpm</v>
      </c>
      <c r="D41" s="4">
        <f t="shared" ca="1" si="3"/>
        <v>-14.913</v>
      </c>
      <c r="E41" s="4">
        <f t="shared" ca="1" si="3"/>
        <v>2.0659999999999998</v>
      </c>
      <c r="F41" s="4">
        <f t="shared" ca="1" si="3"/>
        <v>-9.9120000000000008</v>
      </c>
      <c r="G41" s="3" t="str">
        <f t="shared" ca="1" si="4"/>
        <v>0,36 Ks</v>
      </c>
      <c r="H41" s="3" t="str">
        <f t="shared" ca="1" si="5"/>
        <v>0,57 Kd</v>
      </c>
      <c r="I41" s="3">
        <f t="shared" ca="1" si="6"/>
        <v>774</v>
      </c>
    </row>
    <row r="42" spans="1:9" x14ac:dyDescent="0.25">
      <c r="A42" s="2" t="str">
        <f t="shared" ca="1" si="0"/>
        <v>32,2°C</v>
      </c>
      <c r="B42" s="3" t="str">
        <f t="shared" ca="1" si="1"/>
        <v>98%</v>
      </c>
      <c r="C42" s="4" t="str">
        <f t="shared" ca="1" si="2"/>
        <v>112bpm</v>
      </c>
      <c r="D42" s="4">
        <f t="shared" ca="1" si="3"/>
        <v>13.581</v>
      </c>
      <c r="E42" s="4">
        <f t="shared" ca="1" si="3"/>
        <v>-4.133</v>
      </c>
      <c r="F42" s="4">
        <f t="shared" ca="1" si="3"/>
        <v>14.22</v>
      </c>
      <c r="G42" s="3" t="str">
        <f t="shared" ca="1" si="4"/>
        <v>0,25 Ks</v>
      </c>
      <c r="H42" s="3" t="str">
        <f t="shared" ca="1" si="5"/>
        <v>0,7 Kd</v>
      </c>
      <c r="I42" s="3">
        <f t="shared" ca="1" si="6"/>
        <v>69</v>
      </c>
    </row>
    <row r="43" spans="1:9" x14ac:dyDescent="0.25">
      <c r="A43" s="2" t="str">
        <f t="shared" ca="1" si="0"/>
        <v>31,6°C</v>
      </c>
      <c r="B43" s="3" t="str">
        <f t="shared" ca="1" si="1"/>
        <v>94%</v>
      </c>
      <c r="C43" s="4" t="str">
        <f t="shared" ca="1" si="2"/>
        <v>102bpm</v>
      </c>
      <c r="D43" s="4">
        <f t="shared" ca="1" si="3"/>
        <v>1.923</v>
      </c>
      <c r="E43" s="4">
        <f t="shared" ca="1" si="3"/>
        <v>-8.5069999999999997</v>
      </c>
      <c r="F43" s="4">
        <f t="shared" ca="1" si="3"/>
        <v>2.7130000000000001</v>
      </c>
      <c r="G43" s="3" t="str">
        <f t="shared" ca="1" si="4"/>
        <v>0,35 Ks</v>
      </c>
      <c r="H43" s="3" t="str">
        <f t="shared" ca="1" si="5"/>
        <v>0,83 Kd</v>
      </c>
      <c r="I43" s="3">
        <f t="shared" ca="1" si="6"/>
        <v>295</v>
      </c>
    </row>
    <row r="44" spans="1:9" x14ac:dyDescent="0.25">
      <c r="A44" s="2" t="str">
        <f t="shared" ca="1" si="0"/>
        <v>31,3°C</v>
      </c>
      <c r="B44" s="3" t="str">
        <f t="shared" ca="1" si="1"/>
        <v>89%</v>
      </c>
      <c r="C44" s="4" t="str">
        <f t="shared" ca="1" si="2"/>
        <v>119bpm</v>
      </c>
      <c r="D44" s="4">
        <f t="shared" ca="1" si="3"/>
        <v>10.24</v>
      </c>
      <c r="E44" s="4">
        <f t="shared" ca="1" si="3"/>
        <v>13.509</v>
      </c>
      <c r="F44" s="4">
        <f t="shared" ca="1" si="3"/>
        <v>-8.2680000000000007</v>
      </c>
      <c r="G44" s="3" t="str">
        <f t="shared" ca="1" si="4"/>
        <v>0,25 Ks</v>
      </c>
      <c r="H44" s="3" t="str">
        <f t="shared" ca="1" si="5"/>
        <v>0,48 Kd</v>
      </c>
      <c r="I44" s="3">
        <f t="shared" ca="1" si="6"/>
        <v>309</v>
      </c>
    </row>
    <row r="45" spans="1:9" x14ac:dyDescent="0.25">
      <c r="A45" s="2" t="str">
        <f t="shared" ca="1" si="0"/>
        <v>29,7°C</v>
      </c>
      <c r="B45" s="3" t="str">
        <f t="shared" ca="1" si="1"/>
        <v>88%</v>
      </c>
      <c r="C45" s="4" t="str">
        <f t="shared" ca="1" si="2"/>
        <v>72bpm</v>
      </c>
      <c r="D45" s="4">
        <f t="shared" ca="1" si="3"/>
        <v>0.55200000000000005</v>
      </c>
      <c r="E45" s="4">
        <f t="shared" ca="1" si="3"/>
        <v>-15.372999999999999</v>
      </c>
      <c r="F45" s="4">
        <f t="shared" ca="1" si="3"/>
        <v>-6.9960000000000004</v>
      </c>
      <c r="G45" s="3" t="str">
        <f t="shared" ca="1" si="4"/>
        <v>0,65 Ks</v>
      </c>
      <c r="H45" s="3" t="str">
        <f t="shared" ca="1" si="5"/>
        <v>0,66 Kd</v>
      </c>
      <c r="I45" s="3">
        <f t="shared" ca="1" si="6"/>
        <v>448</v>
      </c>
    </row>
    <row r="46" spans="1:9" x14ac:dyDescent="0.25">
      <c r="A46" s="2" t="str">
        <f t="shared" ca="1" si="0"/>
        <v>35,8°C</v>
      </c>
      <c r="B46" s="3" t="str">
        <f t="shared" ca="1" si="1"/>
        <v>84%</v>
      </c>
      <c r="C46" s="4" t="str">
        <f t="shared" ca="1" si="2"/>
        <v>126bpm</v>
      </c>
      <c r="D46" s="4">
        <f t="shared" ca="1" si="3"/>
        <v>-2.0659999999999998</v>
      </c>
      <c r="E46" s="4">
        <f t="shared" ca="1" si="3"/>
        <v>3.052</v>
      </c>
      <c r="F46" s="4">
        <f t="shared" ca="1" si="3"/>
        <v>-5.8230000000000004</v>
      </c>
      <c r="G46" s="3" t="str">
        <f t="shared" ca="1" si="4"/>
        <v>0,52 Ks</v>
      </c>
      <c r="H46" s="3" t="str">
        <f t="shared" ca="1" si="5"/>
        <v>0,61 Kd</v>
      </c>
      <c r="I46" s="3">
        <f t="shared" ca="1" si="6"/>
        <v>981</v>
      </c>
    </row>
    <row r="47" spans="1:9" x14ac:dyDescent="0.25">
      <c r="A47" s="2" t="str">
        <f t="shared" ca="1" si="0"/>
        <v>38,6°C</v>
      </c>
      <c r="B47" s="3" t="str">
        <f t="shared" ca="1" si="1"/>
        <v>99%</v>
      </c>
      <c r="C47" s="4" t="str">
        <f t="shared" ca="1" si="2"/>
        <v>134bpm</v>
      </c>
      <c r="D47" s="4">
        <f t="shared" ca="1" si="3"/>
        <v>-10.907999999999999</v>
      </c>
      <c r="E47" s="4">
        <f t="shared" ca="1" si="3"/>
        <v>-11.388</v>
      </c>
      <c r="F47" s="4">
        <f t="shared" ca="1" si="3"/>
        <v>-4.4660000000000002</v>
      </c>
      <c r="G47" s="3" t="str">
        <f t="shared" ca="1" si="4"/>
        <v>0,62 Ks</v>
      </c>
      <c r="H47" s="3" t="str">
        <f t="shared" ca="1" si="5"/>
        <v>0,63 Kd</v>
      </c>
      <c r="I47" s="3">
        <f t="shared" ca="1" si="6"/>
        <v>826</v>
      </c>
    </row>
    <row r="48" spans="1:9" x14ac:dyDescent="0.25">
      <c r="A48" s="2" t="str">
        <f t="shared" ca="1" si="0"/>
        <v>30,6°C</v>
      </c>
      <c r="B48" s="3" t="str">
        <f t="shared" ca="1" si="1"/>
        <v>90%</v>
      </c>
      <c r="C48" s="4" t="str">
        <f t="shared" ca="1" si="2"/>
        <v>122bpm</v>
      </c>
      <c r="D48" s="4">
        <f t="shared" ca="1" si="3"/>
        <v>-15.566000000000001</v>
      </c>
      <c r="E48" s="4">
        <f t="shared" ca="1" si="3"/>
        <v>9.843</v>
      </c>
      <c r="F48" s="4">
        <f t="shared" ca="1" si="3"/>
        <v>-2.1800000000000002</v>
      </c>
      <c r="G48" s="3" t="str">
        <f t="shared" ca="1" si="4"/>
        <v>0,34 Ks</v>
      </c>
      <c r="H48" s="3" t="str">
        <f t="shared" ca="1" si="5"/>
        <v>0,94 Kd</v>
      </c>
      <c r="I48" s="3">
        <f t="shared" ca="1" si="6"/>
        <v>737</v>
      </c>
    </row>
    <row r="49" spans="1:9" x14ac:dyDescent="0.25">
      <c r="A49" s="2" t="str">
        <f t="shared" ca="1" si="0"/>
        <v>37,9°C</v>
      </c>
      <c r="B49" s="3" t="str">
        <f t="shared" ca="1" si="1"/>
        <v>95%</v>
      </c>
      <c r="C49" s="4" t="str">
        <f t="shared" ca="1" si="2"/>
        <v>112bpm</v>
      </c>
      <c r="D49" s="4">
        <f t="shared" ca="1" si="3"/>
        <v>6.1859999999999999</v>
      </c>
      <c r="E49" s="4">
        <f t="shared" ca="1" si="3"/>
        <v>3.17</v>
      </c>
      <c r="F49" s="4">
        <f t="shared" ca="1" si="3"/>
        <v>-10.907</v>
      </c>
      <c r="G49" s="3" t="str">
        <f t="shared" ca="1" si="4"/>
        <v>0,71 Ks</v>
      </c>
      <c r="H49" s="3" t="str">
        <f t="shared" ca="1" si="5"/>
        <v>0,76 Kd</v>
      </c>
      <c r="I49" s="3">
        <f t="shared" ca="1" si="6"/>
        <v>580</v>
      </c>
    </row>
    <row r="50" spans="1:9" x14ac:dyDescent="0.25">
      <c r="A50" s="2" t="str">
        <f t="shared" ca="1" si="0"/>
        <v>29°C</v>
      </c>
      <c r="B50" s="3" t="str">
        <f t="shared" ca="1" si="1"/>
        <v>86%</v>
      </c>
      <c r="C50" s="4" t="str">
        <f t="shared" ca="1" si="2"/>
        <v>60bpm</v>
      </c>
      <c r="D50" s="4">
        <f t="shared" ca="1" si="3"/>
        <v>13.871</v>
      </c>
      <c r="E50" s="4">
        <f t="shared" ca="1" si="3"/>
        <v>13.066000000000001</v>
      </c>
      <c r="F50" s="4">
        <f t="shared" ca="1" si="3"/>
        <v>-11.451000000000001</v>
      </c>
      <c r="G50" s="3" t="str">
        <f t="shared" ca="1" si="4"/>
        <v>0,77 Ks</v>
      </c>
      <c r="H50" s="3" t="str">
        <f t="shared" ca="1" si="5"/>
        <v>0,42 Kd</v>
      </c>
      <c r="I50" s="3">
        <f t="shared" ca="1" si="6"/>
        <v>24</v>
      </c>
    </row>
    <row r="51" spans="1:9" x14ac:dyDescent="0.25">
      <c r="A51" s="2" t="str">
        <f t="shared" ca="1" si="0"/>
        <v>42,4°C</v>
      </c>
      <c r="B51" s="3" t="str">
        <f t="shared" ca="1" si="1"/>
        <v>87%</v>
      </c>
      <c r="C51" s="4" t="str">
        <f t="shared" ca="1" si="2"/>
        <v>141bpm</v>
      </c>
      <c r="D51" s="4">
        <f t="shared" ca="1" si="3"/>
        <v>7.258</v>
      </c>
      <c r="E51" s="4">
        <f t="shared" ca="1" si="3"/>
        <v>-11.372999999999999</v>
      </c>
      <c r="F51" s="4">
        <f t="shared" ca="1" si="3"/>
        <v>-7.5279999999999996</v>
      </c>
      <c r="G51" s="3" t="str">
        <f t="shared" ca="1" si="4"/>
        <v>0,64 Ks</v>
      </c>
      <c r="H51" s="3" t="str">
        <f t="shared" ca="1" si="5"/>
        <v>0,44 Kd</v>
      </c>
      <c r="I51" s="3">
        <f t="shared" ca="1" si="6"/>
        <v>749</v>
      </c>
    </row>
    <row r="52" spans="1:9" x14ac:dyDescent="0.25">
      <c r="A52" s="2"/>
      <c r="B52" s="2"/>
      <c r="C52" s="2"/>
      <c r="D52" s="2"/>
      <c r="E52" s="2"/>
      <c r="F52" s="2"/>
      <c r="G5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ΚΙΟΥΡΤ-ΜΕΧΜΕΤΑΛΗ ΑΧΜΕΤ</dc:creator>
  <cp:lastModifiedBy>ΚΙΟΥΡΤ-ΜΕΧΜΕΤΑΛΗ ΑΧΜΕΤ</cp:lastModifiedBy>
  <dcterms:created xsi:type="dcterms:W3CDTF">2023-12-16T18:25:27Z</dcterms:created>
  <dcterms:modified xsi:type="dcterms:W3CDTF">2023-12-19T20:24:46Z</dcterms:modified>
</cp:coreProperties>
</file>